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shift_schedule\"/>
    </mc:Choice>
  </mc:AlternateContent>
  <xr:revisionPtr revIDLastSave="0" documentId="13_ncr:1_{4B13DB9D-CC9C-4BD4-96E3-38102DFEC360}" xr6:coauthVersionLast="47" xr6:coauthVersionMax="47" xr10:uidLastSave="{00000000-0000-0000-0000-000000000000}"/>
  <bookViews>
    <workbookView xWindow="-108" yWindow="-108" windowWidth="23256" windowHeight="12576" activeTab="3" xr2:uid="{E3ADB20B-B543-B342-BEA3-6CF115A8B7BE}"/>
  </bookViews>
  <sheets>
    <sheet name="上月班次衔接" sheetId="1" r:id="rId1"/>
    <sheet name="capital" sheetId="2" r:id="rId2"/>
    <sheet name="班次要求" sheetId="3" r:id="rId3"/>
    <sheet name="班次意见" sheetId="4" r:id="rId4"/>
    <sheet name="固定班次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P2" i="2"/>
  <c r="F2" i="2"/>
  <c r="R2" i="3"/>
  <c r="K4" i="4"/>
  <c r="K3" i="4" s="1"/>
  <c r="O3" i="4"/>
  <c r="P4" i="4"/>
  <c r="P3" i="4" s="1"/>
  <c r="N7" i="3"/>
  <c r="N4" i="3"/>
  <c r="B2" i="2"/>
  <c r="N3" i="3" s="1"/>
  <c r="N6" i="3" s="1"/>
  <c r="N8" i="3" l="1"/>
  <c r="S2" i="3"/>
  <c r="J4" i="4"/>
  <c r="Q4" i="4"/>
  <c r="Q3" i="4" l="1"/>
  <c r="R4" i="4"/>
  <c r="T2" i="3"/>
  <c r="J3" i="4"/>
  <c r="I4" i="4"/>
  <c r="H4" i="4" l="1"/>
  <c r="I3" i="4"/>
  <c r="S4" i="4"/>
  <c r="R3" i="4"/>
  <c r="U2" i="3"/>
  <c r="T4" i="4" l="1"/>
  <c r="S3" i="4"/>
  <c r="V2" i="3"/>
  <c r="G4" i="4"/>
  <c r="H3" i="4"/>
  <c r="F4" i="4" l="1"/>
  <c r="F3" i="4" s="1"/>
  <c r="G3" i="4"/>
  <c r="U4" i="4"/>
  <c r="T3" i="4"/>
  <c r="W2" i="3"/>
  <c r="V4" i="4" l="1"/>
  <c r="X2" i="3"/>
  <c r="U3" i="4"/>
  <c r="W4" i="4" l="1"/>
  <c r="Y2" i="3"/>
  <c r="V3" i="4"/>
  <c r="X4" i="4" l="1"/>
  <c r="Z2" i="3"/>
  <c r="W3" i="4"/>
  <c r="Y4" i="4" l="1"/>
  <c r="X3" i="4"/>
  <c r="AA2" i="3"/>
  <c r="Z4" i="4" l="1"/>
  <c r="Y3" i="4"/>
  <c r="AB2" i="3"/>
  <c r="AA4" i="4" l="1"/>
  <c r="Z3" i="4"/>
  <c r="AC2" i="3"/>
  <c r="AB4" i="4" l="1"/>
  <c r="AA3" i="4"/>
  <c r="AD2" i="3"/>
  <c r="AE2" i="3" l="1"/>
  <c r="AB3" i="4"/>
  <c r="AC4" i="4"/>
  <c r="AD4" i="4" l="1"/>
  <c r="AF2" i="3"/>
  <c r="AC3" i="4"/>
  <c r="AE4" i="4" l="1"/>
  <c r="AG2" i="3"/>
  <c r="AD3" i="4"/>
  <c r="AF4" i="4" l="1"/>
  <c r="AH2" i="3"/>
  <c r="AE3" i="4"/>
  <c r="AG4" i="4" l="1"/>
  <c r="AF3" i="4"/>
  <c r="AI2" i="3"/>
  <c r="AH4" i="4" l="1"/>
  <c r="AG3" i="4"/>
  <c r="AJ2" i="3"/>
  <c r="AI4" i="4" l="1"/>
  <c r="AH3" i="4"/>
  <c r="AK2" i="3"/>
  <c r="AJ4" i="4" l="1"/>
  <c r="AI3" i="4"/>
  <c r="AL2" i="3"/>
  <c r="AK4" i="4" l="1"/>
  <c r="AM2" i="3"/>
  <c r="AJ3" i="4"/>
  <c r="AL4" i="4" l="1"/>
  <c r="AN2" i="3"/>
  <c r="AK3" i="4"/>
  <c r="AO2" i="3" l="1"/>
  <c r="AL3" i="4"/>
  <c r="AM4" i="4"/>
  <c r="AN4" i="4" l="1"/>
  <c r="AP2" i="3"/>
  <c r="AM3" i="4"/>
  <c r="AO4" i="4" l="1"/>
  <c r="AN3" i="4"/>
  <c r="AQ2" i="3"/>
  <c r="AP4" i="4" l="1"/>
  <c r="AO3" i="4"/>
  <c r="AR2" i="3"/>
  <c r="AQ4" i="4" l="1"/>
  <c r="AP3" i="4"/>
  <c r="AS2" i="3"/>
  <c r="AR4" i="4" l="1"/>
  <c r="AT2" i="3"/>
  <c r="AQ3" i="4"/>
  <c r="AS4" i="4" l="1"/>
  <c r="AU2" i="3"/>
  <c r="AR3" i="4"/>
  <c r="AV2" i="3" l="1"/>
  <c r="AS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tc={DC98B6A2-024F-524A-9C51-8EE260EE5DE2}</author>
  </authors>
  <commentList>
    <comment ref="N7" authorId="0" shapeId="0" xr:uid="{DC98B6A2-024F-524A-9C51-8EE260EE5DE2}">
      <text>
        <r>
          <rPr>
            <sz val="14"/>
            <color theme="1"/>
            <rFont val="等线"/>
            <family val="2"/>
            <charset val="134"/>
            <scheme val="minor"/>
          </rPr>
          <t>[线程批注]
你的Excel版本可读取此线程批注; 但如果在更新版本的Excel中打开文件，则对批注所作的任何改动都将被删除。了解详细信息: https://go.microsoft.com/fwlink/?linkid=870924
注释:
    剔除三工</t>
        </r>
      </text>
    </comment>
  </commentList>
</comments>
</file>

<file path=xl/sharedStrings.xml><?xml version="1.0" encoding="utf-8"?>
<sst xmlns="http://schemas.openxmlformats.org/spreadsheetml/2006/main" count="182" uniqueCount="77">
  <si>
    <t>lastweek_assignments</t>
    <phoneticPr fontId="1" type="noConversion"/>
  </si>
  <si>
    <t>轮班名单</t>
    <phoneticPr fontId="1" type="noConversion"/>
  </si>
  <si>
    <t>工作日天数</t>
    <phoneticPr fontId="1" type="noConversion"/>
  </si>
  <si>
    <t>首天日期</t>
    <phoneticPr fontId="1" type="noConversion"/>
  </si>
  <si>
    <t>月份天数</t>
    <phoneticPr fontId="1" type="noConversion"/>
  </si>
  <si>
    <t>三工日期</t>
    <phoneticPr fontId="1" type="noConversion"/>
  </si>
  <si>
    <t>人均</t>
    <phoneticPr fontId="1" type="noConversion"/>
  </si>
  <si>
    <t>M1</t>
  </si>
  <si>
    <t>M1</t>
    <phoneticPr fontId="1" type="noConversion"/>
  </si>
  <si>
    <t>M2</t>
  </si>
  <si>
    <t>M3</t>
  </si>
  <si>
    <t>M7</t>
  </si>
  <si>
    <t>M7</t>
    <phoneticPr fontId="1" type="noConversion"/>
  </si>
  <si>
    <t>M8</t>
  </si>
  <si>
    <t>M9</t>
  </si>
  <si>
    <t>M10</t>
  </si>
  <si>
    <t>M910</t>
    <phoneticPr fontId="1" type="noConversion"/>
  </si>
  <si>
    <t>M4</t>
  </si>
  <si>
    <t>M5</t>
  </si>
  <si>
    <t>M6</t>
  </si>
  <si>
    <t>不可班天数</t>
    <phoneticPr fontId="1" type="noConversion"/>
  </si>
  <si>
    <t>用完</t>
    <phoneticPr fontId="1" type="noConversion"/>
  </si>
  <si>
    <t>班次</t>
    <phoneticPr fontId="1" type="noConversion"/>
  </si>
  <si>
    <t>M10</t>
    <phoneticPr fontId="1" type="noConversion"/>
  </si>
  <si>
    <t>M9</t>
    <phoneticPr fontId="1" type="noConversion"/>
  </si>
  <si>
    <t>requests</t>
    <phoneticPr fontId="1" type="noConversion"/>
  </si>
  <si>
    <t>n</t>
    <phoneticPr fontId="1" type="noConversion"/>
  </si>
  <si>
    <t>d</t>
    <phoneticPr fontId="1" type="noConversion"/>
  </si>
  <si>
    <t>s</t>
    <phoneticPr fontId="1" type="noConversion"/>
  </si>
  <si>
    <t>w</t>
    <phoneticPr fontId="1" type="noConversion"/>
  </si>
  <si>
    <t>人事工号</t>
    <phoneticPr fontId="1" type="noConversion"/>
  </si>
  <si>
    <t>工号</t>
    <phoneticPr fontId="1" type="noConversion"/>
  </si>
  <si>
    <t>姓名</t>
    <phoneticPr fontId="1" type="noConversion"/>
  </si>
  <si>
    <t>r1</t>
    <phoneticPr fontId="1" type="noConversion"/>
  </si>
  <si>
    <t>g1</t>
    <phoneticPr fontId="1" type="noConversion"/>
  </si>
  <si>
    <t>worker1</t>
    <phoneticPr fontId="1" type="noConversion"/>
  </si>
  <si>
    <t>r2</t>
  </si>
  <si>
    <t>g2</t>
  </si>
  <si>
    <t>worker2</t>
  </si>
  <si>
    <t>r3</t>
  </si>
  <si>
    <t>g3</t>
  </si>
  <si>
    <t>worker3</t>
  </si>
  <si>
    <t>r4</t>
  </si>
  <si>
    <t>g4</t>
  </si>
  <si>
    <t>worker4</t>
  </si>
  <si>
    <t>r5</t>
  </si>
  <si>
    <t>g5</t>
  </si>
  <si>
    <t>worker5</t>
  </si>
  <si>
    <t>r6</t>
  </si>
  <si>
    <t>g6</t>
  </si>
  <si>
    <t>worker6</t>
  </si>
  <si>
    <t>r7</t>
  </si>
  <si>
    <t>g7</t>
  </si>
  <si>
    <t>worker7</t>
  </si>
  <si>
    <t>r8</t>
  </si>
  <si>
    <t>g8</t>
  </si>
  <si>
    <t>worker8</t>
  </si>
  <si>
    <t>r9</t>
  </si>
  <si>
    <t>g9</t>
  </si>
  <si>
    <t>worker9</t>
  </si>
  <si>
    <t>r10</t>
  </si>
  <si>
    <t>g10</t>
  </si>
  <si>
    <t>worker10</t>
  </si>
  <si>
    <t>r11</t>
  </si>
  <si>
    <t>g11</t>
  </si>
  <si>
    <t>worker11</t>
  </si>
  <si>
    <t>r12</t>
  </si>
  <si>
    <t>g12</t>
  </si>
  <si>
    <t>worker12</t>
  </si>
  <si>
    <t>r13</t>
  </si>
  <si>
    <t>g13</t>
  </si>
  <si>
    <t>worker13</t>
  </si>
  <si>
    <t>fixed_assignments</t>
    <phoneticPr fontId="1" type="noConversion"/>
  </si>
  <si>
    <t>休</t>
    <phoneticPr fontId="1" type="noConversion"/>
  </si>
  <si>
    <t>年假</t>
    <phoneticPr fontId="1" type="noConversion"/>
  </si>
  <si>
    <t>min_night</t>
    <phoneticPr fontId="1" type="noConversion"/>
  </si>
  <si>
    <t>PX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</si>
</sst>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804]aaaa;@"/>
  </numFmts>
  <fonts count="2" x14ac:knownFonts="1">
    <font>
      <sz val="14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58" fontId="0" fillId="2" borderId="0" xfId="0" applyNumberFormat="1" applyFill="1">
      <alignment vertical="center"/>
    </xf>
    <xf numFmtId="58" fontId="0" fillId="0" borderId="0" xfId="0" applyNumberFormat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4628" id="{3EEEBE5F-2A8A-D147-BC73-D08FE7D8B16B}" userId="S::e4628@vip.officed.top::c200bf30-eed8-48e9-a8aa-4649b188003f" providerId="AD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7" dT="2024-06-25T08:23:04.25" personId="{3EEEBE5F-2A8A-D147-BC73-D08FE7D8B16B}" id="{DC98B6A2-024F-524A-9C51-8EE260EE5DE2}">
    <text>剔除三工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302D-AAB4-7E46-B33C-622010BF11E9}">
  <sheetPr codeName="Sheet1"/>
  <dimension ref="A1:D79"/>
  <sheetViews>
    <sheetView workbookViewId="0">
      <selection activeCell="D1" sqref="D1"/>
    </sheetView>
  </sheetViews>
  <sheetFormatPr defaultColWidth="10.6640625" defaultRowHeight="17.399999999999999" x14ac:dyDescent="0.3"/>
  <sheetData>
    <row r="1" spans="1:4" x14ac:dyDescent="0.3">
      <c r="A1" t="s">
        <v>0</v>
      </c>
    </row>
    <row r="2" spans="1:4" x14ac:dyDescent="0.3">
      <c r="B2">
        <v>0</v>
      </c>
      <c r="C2">
        <v>-6</v>
      </c>
      <c r="D2">
        <v>10</v>
      </c>
    </row>
    <row r="3" spans="1:4" x14ac:dyDescent="0.3">
      <c r="B3">
        <v>0</v>
      </c>
      <c r="C3">
        <v>-5</v>
      </c>
      <c r="D3">
        <v>3</v>
      </c>
    </row>
    <row r="4" spans="1:4" x14ac:dyDescent="0.3">
      <c r="B4">
        <v>0</v>
      </c>
      <c r="C4">
        <v>-4</v>
      </c>
      <c r="D4">
        <v>3</v>
      </c>
    </row>
    <row r="5" spans="1:4" x14ac:dyDescent="0.3">
      <c r="B5">
        <v>0</v>
      </c>
      <c r="C5">
        <v>-3</v>
      </c>
      <c r="D5">
        <v>3</v>
      </c>
    </row>
    <row r="6" spans="1:4" x14ac:dyDescent="0.3">
      <c r="B6">
        <v>0</v>
      </c>
      <c r="C6">
        <v>-2</v>
      </c>
      <c r="D6">
        <v>3</v>
      </c>
    </row>
    <row r="7" spans="1:4" x14ac:dyDescent="0.3">
      <c r="B7">
        <v>0</v>
      </c>
      <c r="C7">
        <v>-1</v>
      </c>
      <c r="D7">
        <v>0</v>
      </c>
    </row>
    <row r="8" spans="1:4" x14ac:dyDescent="0.3">
      <c r="B8">
        <v>1</v>
      </c>
      <c r="C8">
        <v>-6</v>
      </c>
      <c r="D8">
        <v>3</v>
      </c>
    </row>
    <row r="9" spans="1:4" x14ac:dyDescent="0.3">
      <c r="B9">
        <v>1</v>
      </c>
      <c r="C9">
        <v>-5</v>
      </c>
      <c r="D9">
        <v>3</v>
      </c>
    </row>
    <row r="10" spans="1:4" x14ac:dyDescent="0.3">
      <c r="B10">
        <v>1</v>
      </c>
      <c r="C10">
        <v>-4</v>
      </c>
      <c r="D10">
        <v>3</v>
      </c>
    </row>
    <row r="11" spans="1:4" x14ac:dyDescent="0.3">
      <c r="B11">
        <v>1</v>
      </c>
      <c r="C11">
        <v>-3</v>
      </c>
      <c r="D11">
        <v>3</v>
      </c>
    </row>
    <row r="12" spans="1:4" x14ac:dyDescent="0.3">
      <c r="B12">
        <v>1</v>
      </c>
      <c r="C12">
        <v>-2</v>
      </c>
      <c r="D12">
        <v>3</v>
      </c>
    </row>
    <row r="13" spans="1:4" x14ac:dyDescent="0.3">
      <c r="B13">
        <v>1</v>
      </c>
      <c r="C13">
        <v>-1</v>
      </c>
      <c r="D13">
        <v>0</v>
      </c>
    </row>
    <row r="14" spans="1:4" x14ac:dyDescent="0.3">
      <c r="B14">
        <v>2</v>
      </c>
      <c r="C14">
        <v>-6</v>
      </c>
      <c r="D14">
        <v>3</v>
      </c>
    </row>
    <row r="15" spans="1:4" x14ac:dyDescent="0.3">
      <c r="B15">
        <v>2</v>
      </c>
      <c r="C15">
        <v>-5</v>
      </c>
      <c r="D15">
        <v>3</v>
      </c>
    </row>
    <row r="16" spans="1:4" x14ac:dyDescent="0.3">
      <c r="B16">
        <v>2</v>
      </c>
      <c r="C16">
        <v>-4</v>
      </c>
      <c r="D16">
        <v>3</v>
      </c>
    </row>
    <row r="17" spans="2:4" x14ac:dyDescent="0.3">
      <c r="B17">
        <v>2</v>
      </c>
      <c r="C17">
        <v>-3</v>
      </c>
      <c r="D17">
        <v>3</v>
      </c>
    </row>
    <row r="18" spans="2:4" x14ac:dyDescent="0.3">
      <c r="B18">
        <v>2</v>
      </c>
      <c r="C18">
        <v>-2</v>
      </c>
      <c r="D18">
        <v>3</v>
      </c>
    </row>
    <row r="19" spans="2:4" x14ac:dyDescent="0.3">
      <c r="B19">
        <v>2</v>
      </c>
      <c r="C19">
        <v>-1</v>
      </c>
      <c r="D19">
        <v>0</v>
      </c>
    </row>
    <row r="20" spans="2:4" x14ac:dyDescent="0.3">
      <c r="B20">
        <v>3</v>
      </c>
      <c r="C20">
        <v>-6</v>
      </c>
      <c r="D20">
        <v>3</v>
      </c>
    </row>
    <row r="21" spans="2:4" x14ac:dyDescent="0.3">
      <c r="B21">
        <v>3</v>
      </c>
      <c r="C21">
        <v>-5</v>
      </c>
      <c r="D21">
        <v>3</v>
      </c>
    </row>
    <row r="22" spans="2:4" x14ac:dyDescent="0.3">
      <c r="B22">
        <v>3</v>
      </c>
      <c r="C22">
        <v>-4</v>
      </c>
      <c r="D22">
        <v>3</v>
      </c>
    </row>
    <row r="23" spans="2:4" x14ac:dyDescent="0.3">
      <c r="B23">
        <v>3</v>
      </c>
      <c r="C23">
        <v>-3</v>
      </c>
      <c r="D23">
        <v>3</v>
      </c>
    </row>
    <row r="24" spans="2:4" x14ac:dyDescent="0.3">
      <c r="B24">
        <v>3</v>
      </c>
      <c r="C24">
        <v>-2</v>
      </c>
      <c r="D24">
        <v>3</v>
      </c>
    </row>
    <row r="25" spans="2:4" x14ac:dyDescent="0.3">
      <c r="B25">
        <v>3</v>
      </c>
      <c r="C25">
        <v>-1</v>
      </c>
      <c r="D25">
        <v>0</v>
      </c>
    </row>
    <row r="26" spans="2:4" x14ac:dyDescent="0.3">
      <c r="B26">
        <v>4</v>
      </c>
      <c r="C26">
        <v>-6</v>
      </c>
      <c r="D26">
        <v>3</v>
      </c>
    </row>
    <row r="27" spans="2:4" x14ac:dyDescent="0.3">
      <c r="B27">
        <v>4</v>
      </c>
      <c r="C27">
        <v>-5</v>
      </c>
      <c r="D27">
        <v>3</v>
      </c>
    </row>
    <row r="28" spans="2:4" x14ac:dyDescent="0.3">
      <c r="B28">
        <v>4</v>
      </c>
      <c r="C28">
        <v>-4</v>
      </c>
      <c r="D28">
        <v>3</v>
      </c>
    </row>
    <row r="29" spans="2:4" x14ac:dyDescent="0.3">
      <c r="B29">
        <v>4</v>
      </c>
      <c r="C29">
        <v>-3</v>
      </c>
      <c r="D29">
        <v>3</v>
      </c>
    </row>
    <row r="30" spans="2:4" x14ac:dyDescent="0.3">
      <c r="B30">
        <v>4</v>
      </c>
      <c r="C30">
        <v>-2</v>
      </c>
      <c r="D30">
        <v>0</v>
      </c>
    </row>
    <row r="31" spans="2:4" x14ac:dyDescent="0.3">
      <c r="B31">
        <v>4</v>
      </c>
      <c r="C31">
        <v>-1</v>
      </c>
      <c r="D31">
        <v>3</v>
      </c>
    </row>
    <row r="32" spans="2:4" x14ac:dyDescent="0.3">
      <c r="B32">
        <v>5</v>
      </c>
      <c r="C32">
        <v>-6</v>
      </c>
      <c r="D32">
        <v>3</v>
      </c>
    </row>
    <row r="33" spans="2:4" x14ac:dyDescent="0.3">
      <c r="B33">
        <v>5</v>
      </c>
      <c r="C33">
        <v>-5</v>
      </c>
      <c r="D33">
        <v>3</v>
      </c>
    </row>
    <row r="34" spans="2:4" x14ac:dyDescent="0.3">
      <c r="B34">
        <v>5</v>
      </c>
      <c r="C34">
        <v>-4</v>
      </c>
      <c r="D34">
        <v>3</v>
      </c>
    </row>
    <row r="35" spans="2:4" x14ac:dyDescent="0.3">
      <c r="B35">
        <v>5</v>
      </c>
      <c r="C35">
        <v>-3</v>
      </c>
      <c r="D35">
        <v>3</v>
      </c>
    </row>
    <row r="36" spans="2:4" x14ac:dyDescent="0.3">
      <c r="B36">
        <v>5</v>
      </c>
      <c r="C36">
        <v>-2</v>
      </c>
      <c r="D36">
        <v>0</v>
      </c>
    </row>
    <row r="37" spans="2:4" x14ac:dyDescent="0.3">
      <c r="B37">
        <v>5</v>
      </c>
      <c r="C37">
        <v>-1</v>
      </c>
      <c r="D37">
        <v>3</v>
      </c>
    </row>
    <row r="38" spans="2:4" x14ac:dyDescent="0.3">
      <c r="B38">
        <v>6</v>
      </c>
      <c r="C38">
        <v>-6</v>
      </c>
      <c r="D38">
        <v>3</v>
      </c>
    </row>
    <row r="39" spans="2:4" x14ac:dyDescent="0.3">
      <c r="B39">
        <v>6</v>
      </c>
      <c r="C39">
        <v>-5</v>
      </c>
      <c r="D39">
        <v>3</v>
      </c>
    </row>
    <row r="40" spans="2:4" x14ac:dyDescent="0.3">
      <c r="B40">
        <v>6</v>
      </c>
      <c r="C40">
        <v>-4</v>
      </c>
      <c r="D40">
        <v>3</v>
      </c>
    </row>
    <row r="41" spans="2:4" x14ac:dyDescent="0.3">
      <c r="B41">
        <v>6</v>
      </c>
      <c r="C41">
        <v>-3</v>
      </c>
      <c r="D41">
        <v>3</v>
      </c>
    </row>
    <row r="42" spans="2:4" x14ac:dyDescent="0.3">
      <c r="B42">
        <v>6</v>
      </c>
      <c r="C42">
        <v>-2</v>
      </c>
      <c r="D42">
        <v>0</v>
      </c>
    </row>
    <row r="43" spans="2:4" x14ac:dyDescent="0.3">
      <c r="B43">
        <v>6</v>
      </c>
      <c r="C43">
        <v>-1</v>
      </c>
      <c r="D43">
        <v>3</v>
      </c>
    </row>
    <row r="44" spans="2:4" x14ac:dyDescent="0.3">
      <c r="B44">
        <v>7</v>
      </c>
      <c r="C44">
        <v>-6</v>
      </c>
      <c r="D44">
        <v>3</v>
      </c>
    </row>
    <row r="45" spans="2:4" x14ac:dyDescent="0.3">
      <c r="B45">
        <v>7</v>
      </c>
      <c r="C45">
        <v>-5</v>
      </c>
      <c r="D45">
        <v>3</v>
      </c>
    </row>
    <row r="46" spans="2:4" x14ac:dyDescent="0.3">
      <c r="B46">
        <v>7</v>
      </c>
      <c r="C46">
        <v>-4</v>
      </c>
      <c r="D46">
        <v>3</v>
      </c>
    </row>
    <row r="47" spans="2:4" x14ac:dyDescent="0.3">
      <c r="B47">
        <v>7</v>
      </c>
      <c r="C47">
        <v>-3</v>
      </c>
      <c r="D47">
        <v>3</v>
      </c>
    </row>
    <row r="48" spans="2:4" x14ac:dyDescent="0.3">
      <c r="B48">
        <v>7</v>
      </c>
      <c r="C48">
        <v>-2</v>
      </c>
      <c r="D48">
        <v>0</v>
      </c>
    </row>
    <row r="49" spans="2:4" x14ac:dyDescent="0.3">
      <c r="B49">
        <v>7</v>
      </c>
      <c r="C49">
        <v>-1</v>
      </c>
      <c r="D49">
        <v>3</v>
      </c>
    </row>
    <row r="50" spans="2:4" x14ac:dyDescent="0.3">
      <c r="B50">
        <v>8</v>
      </c>
      <c r="C50">
        <v>-6</v>
      </c>
      <c r="D50">
        <v>3</v>
      </c>
    </row>
    <row r="51" spans="2:4" x14ac:dyDescent="0.3">
      <c r="B51">
        <v>8</v>
      </c>
      <c r="C51">
        <v>-5</v>
      </c>
      <c r="D51">
        <v>3</v>
      </c>
    </row>
    <row r="52" spans="2:4" x14ac:dyDescent="0.3">
      <c r="B52">
        <v>8</v>
      </c>
      <c r="C52">
        <v>-4</v>
      </c>
      <c r="D52">
        <v>3</v>
      </c>
    </row>
    <row r="53" spans="2:4" x14ac:dyDescent="0.3">
      <c r="B53">
        <v>8</v>
      </c>
      <c r="C53">
        <v>-3</v>
      </c>
      <c r="D53">
        <v>3</v>
      </c>
    </row>
    <row r="54" spans="2:4" x14ac:dyDescent="0.3">
      <c r="B54">
        <v>8</v>
      </c>
      <c r="C54">
        <v>-2</v>
      </c>
      <c r="D54">
        <v>0</v>
      </c>
    </row>
    <row r="55" spans="2:4" x14ac:dyDescent="0.3">
      <c r="B55">
        <v>8</v>
      </c>
      <c r="C55">
        <v>-1</v>
      </c>
      <c r="D55">
        <v>3</v>
      </c>
    </row>
    <row r="56" spans="2:4" x14ac:dyDescent="0.3">
      <c r="B56">
        <v>9</v>
      </c>
      <c r="C56">
        <v>-6</v>
      </c>
      <c r="D56">
        <v>3</v>
      </c>
    </row>
    <row r="57" spans="2:4" x14ac:dyDescent="0.3">
      <c r="B57">
        <v>9</v>
      </c>
      <c r="C57">
        <v>-5</v>
      </c>
      <c r="D57">
        <v>3</v>
      </c>
    </row>
    <row r="58" spans="2:4" x14ac:dyDescent="0.3">
      <c r="B58">
        <v>9</v>
      </c>
      <c r="C58">
        <v>-4</v>
      </c>
      <c r="D58">
        <v>3</v>
      </c>
    </row>
    <row r="59" spans="2:4" x14ac:dyDescent="0.3">
      <c r="B59">
        <v>9</v>
      </c>
      <c r="C59">
        <v>-3</v>
      </c>
      <c r="D59">
        <v>3</v>
      </c>
    </row>
    <row r="60" spans="2:4" x14ac:dyDescent="0.3">
      <c r="B60">
        <v>9</v>
      </c>
      <c r="C60">
        <v>-2</v>
      </c>
      <c r="D60">
        <v>0</v>
      </c>
    </row>
    <row r="61" spans="2:4" x14ac:dyDescent="0.3">
      <c r="B61">
        <v>9</v>
      </c>
      <c r="C61">
        <v>-1</v>
      </c>
      <c r="D61">
        <v>3</v>
      </c>
    </row>
    <row r="62" spans="2:4" x14ac:dyDescent="0.3">
      <c r="B62">
        <v>10</v>
      </c>
      <c r="C62">
        <v>-6</v>
      </c>
      <c r="D62">
        <v>3</v>
      </c>
    </row>
    <row r="63" spans="2:4" x14ac:dyDescent="0.3">
      <c r="B63">
        <v>10</v>
      </c>
      <c r="C63">
        <v>-5</v>
      </c>
      <c r="D63">
        <v>3</v>
      </c>
    </row>
    <row r="64" spans="2:4" x14ac:dyDescent="0.3">
      <c r="B64">
        <v>10</v>
      </c>
      <c r="C64">
        <v>-4</v>
      </c>
      <c r="D64">
        <v>3</v>
      </c>
    </row>
    <row r="65" spans="2:4" x14ac:dyDescent="0.3">
      <c r="B65">
        <v>10</v>
      </c>
      <c r="C65">
        <v>-3</v>
      </c>
      <c r="D65">
        <v>3</v>
      </c>
    </row>
    <row r="66" spans="2:4" x14ac:dyDescent="0.3">
      <c r="B66">
        <v>10</v>
      </c>
      <c r="C66">
        <v>-2</v>
      </c>
      <c r="D66">
        <v>0</v>
      </c>
    </row>
    <row r="67" spans="2:4" x14ac:dyDescent="0.3">
      <c r="B67">
        <v>10</v>
      </c>
      <c r="C67">
        <v>-1</v>
      </c>
      <c r="D67">
        <v>3</v>
      </c>
    </row>
    <row r="68" spans="2:4" x14ac:dyDescent="0.3">
      <c r="B68">
        <v>11</v>
      </c>
      <c r="C68">
        <v>-6</v>
      </c>
      <c r="D68">
        <v>3</v>
      </c>
    </row>
    <row r="69" spans="2:4" x14ac:dyDescent="0.3">
      <c r="B69">
        <v>11</v>
      </c>
      <c r="C69">
        <v>-5</v>
      </c>
      <c r="D69">
        <v>3</v>
      </c>
    </row>
    <row r="70" spans="2:4" x14ac:dyDescent="0.3">
      <c r="B70">
        <v>11</v>
      </c>
      <c r="C70">
        <v>-4</v>
      </c>
      <c r="D70">
        <v>3</v>
      </c>
    </row>
    <row r="71" spans="2:4" x14ac:dyDescent="0.3">
      <c r="B71">
        <v>11</v>
      </c>
      <c r="C71">
        <v>-3</v>
      </c>
      <c r="D71">
        <v>3</v>
      </c>
    </row>
    <row r="72" spans="2:4" x14ac:dyDescent="0.3">
      <c r="B72">
        <v>11</v>
      </c>
      <c r="C72">
        <v>-2</v>
      </c>
      <c r="D72">
        <v>0</v>
      </c>
    </row>
    <row r="73" spans="2:4" x14ac:dyDescent="0.3">
      <c r="B73">
        <v>11</v>
      </c>
      <c r="C73">
        <v>-1</v>
      </c>
      <c r="D73">
        <v>3</v>
      </c>
    </row>
    <row r="74" spans="2:4" x14ac:dyDescent="0.3">
      <c r="B74">
        <v>12</v>
      </c>
      <c r="C74">
        <v>-6</v>
      </c>
      <c r="D74">
        <v>3</v>
      </c>
    </row>
    <row r="75" spans="2:4" x14ac:dyDescent="0.3">
      <c r="B75">
        <v>12</v>
      </c>
      <c r="C75">
        <v>-5</v>
      </c>
      <c r="D75">
        <v>3</v>
      </c>
    </row>
    <row r="76" spans="2:4" x14ac:dyDescent="0.3">
      <c r="B76">
        <v>12</v>
      </c>
      <c r="C76">
        <v>-4</v>
      </c>
      <c r="D76">
        <v>3</v>
      </c>
    </row>
    <row r="77" spans="2:4" x14ac:dyDescent="0.3">
      <c r="B77">
        <v>12</v>
      </c>
      <c r="C77">
        <v>-3</v>
      </c>
      <c r="D77">
        <v>3</v>
      </c>
    </row>
    <row r="78" spans="2:4" x14ac:dyDescent="0.3">
      <c r="B78">
        <v>12</v>
      </c>
      <c r="C78">
        <v>-2</v>
      </c>
      <c r="D78">
        <v>0</v>
      </c>
    </row>
    <row r="79" spans="2:4" x14ac:dyDescent="0.3">
      <c r="B79">
        <v>12</v>
      </c>
      <c r="C79">
        <v>-1</v>
      </c>
      <c r="D79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46C-FA1F-B64F-9AEA-27C833E31736}">
  <sheetPr codeName="Sheet2"/>
  <dimension ref="A1:Q14"/>
  <sheetViews>
    <sheetView zoomScale="80" zoomScaleNormal="80" workbookViewId="0">
      <selection activeCell="P2" sqref="P2"/>
    </sheetView>
  </sheetViews>
  <sheetFormatPr defaultColWidth="10.6640625" defaultRowHeight="17.399999999999999" x14ac:dyDescent="0.3"/>
  <cols>
    <col min="2" max="17" width="8.5" customWidth="1"/>
  </cols>
  <sheetData>
    <row r="1" spans="1:17" x14ac:dyDescent="0.3">
      <c r="A1" t="s">
        <v>1</v>
      </c>
      <c r="C1" t="s">
        <v>2</v>
      </c>
      <c r="E1" t="s">
        <v>3</v>
      </c>
      <c r="F1" t="s">
        <v>4</v>
      </c>
      <c r="G1" t="s">
        <v>5</v>
      </c>
      <c r="I1" t="s">
        <v>6</v>
      </c>
      <c r="J1" t="s">
        <v>8</v>
      </c>
      <c r="K1" t="s">
        <v>9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75</v>
      </c>
    </row>
    <row r="2" spans="1:17" x14ac:dyDescent="0.3">
      <c r="A2" t="s">
        <v>35</v>
      </c>
      <c r="B2">
        <f>COUNTA(A:A)-1</f>
        <v>13</v>
      </c>
      <c r="C2" s="1">
        <v>23</v>
      </c>
      <c r="E2" s="2">
        <v>45474</v>
      </c>
      <c r="F2">
        <f>DATE(YEAR(E2),MONTH(E2)+1,1)-E2</f>
        <v>31</v>
      </c>
      <c r="G2" s="1"/>
      <c r="P2">
        <f>ROUNDUP(SUM(班次要求!I:J)/(COUNTA(capital!A:A)-1),0)</f>
        <v>5</v>
      </c>
      <c r="Q2">
        <f>ROUNDUP(SUM(班次要求!G:J)/(COUNTA(capital!A:A)-1),0)</f>
        <v>10</v>
      </c>
    </row>
    <row r="3" spans="1:17" x14ac:dyDescent="0.3">
      <c r="A3" t="s">
        <v>38</v>
      </c>
      <c r="G3" s="1"/>
    </row>
    <row r="4" spans="1:17" x14ac:dyDescent="0.3">
      <c r="A4" t="s">
        <v>41</v>
      </c>
      <c r="G4" s="1"/>
    </row>
    <row r="5" spans="1:17" x14ac:dyDescent="0.3">
      <c r="A5" t="s">
        <v>44</v>
      </c>
      <c r="G5" s="1"/>
    </row>
    <row r="6" spans="1:17" x14ac:dyDescent="0.3">
      <c r="A6" t="s">
        <v>47</v>
      </c>
      <c r="G6" s="1"/>
    </row>
    <row r="7" spans="1:17" x14ac:dyDescent="0.3">
      <c r="A7" t="s">
        <v>50</v>
      </c>
    </row>
    <row r="8" spans="1:17" x14ac:dyDescent="0.3">
      <c r="A8" t="s">
        <v>53</v>
      </c>
    </row>
    <row r="9" spans="1:17" x14ac:dyDescent="0.3">
      <c r="A9" t="s">
        <v>56</v>
      </c>
    </row>
    <row r="10" spans="1:17" x14ac:dyDescent="0.3">
      <c r="A10" t="s">
        <v>59</v>
      </c>
    </row>
    <row r="11" spans="1:17" x14ac:dyDescent="0.3">
      <c r="A11" t="s">
        <v>62</v>
      </c>
    </row>
    <row r="12" spans="1:17" x14ac:dyDescent="0.3">
      <c r="A12" t="s">
        <v>65</v>
      </c>
    </row>
    <row r="13" spans="1:17" x14ac:dyDescent="0.3">
      <c r="A13" t="s">
        <v>68</v>
      </c>
    </row>
    <row r="14" spans="1:17" x14ac:dyDescent="0.3">
      <c r="A14" t="s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15D2-D88A-464C-89D0-3C2126926EAC}">
  <sheetPr codeName="Sheet3"/>
  <dimension ref="A1:AV32"/>
  <sheetViews>
    <sheetView zoomScale="80" zoomScaleNormal="80" workbookViewId="0">
      <selection activeCell="D5" sqref="D5"/>
    </sheetView>
  </sheetViews>
  <sheetFormatPr defaultColWidth="10.6640625" defaultRowHeight="17.399999999999999" x14ac:dyDescent="0.3"/>
  <sheetData>
    <row r="1" spans="1:48" x14ac:dyDescent="0.3">
      <c r="A1" t="s">
        <v>8</v>
      </c>
      <c r="B1" t="s">
        <v>9</v>
      </c>
      <c r="C1" t="s">
        <v>10</v>
      </c>
      <c r="D1" t="s">
        <v>17</v>
      </c>
      <c r="E1" t="s">
        <v>18</v>
      </c>
      <c r="F1" t="s">
        <v>19</v>
      </c>
      <c r="G1" t="s">
        <v>11</v>
      </c>
      <c r="H1" t="s">
        <v>13</v>
      </c>
      <c r="I1" t="s">
        <v>14</v>
      </c>
      <c r="J1" t="s">
        <v>15</v>
      </c>
    </row>
    <row r="2" spans="1:48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Q2" t="s">
        <v>22</v>
      </c>
      <c r="R2" s="3">
        <f>班次意见!O4</f>
        <v>45474</v>
      </c>
      <c r="S2" s="3">
        <f>班次意见!P4</f>
        <v>45475</v>
      </c>
      <c r="T2" s="3">
        <f>班次意见!Q4</f>
        <v>45476</v>
      </c>
      <c r="U2" s="3">
        <f>班次意见!R4</f>
        <v>45477</v>
      </c>
      <c r="V2" s="3">
        <f>班次意见!S4</f>
        <v>45478</v>
      </c>
      <c r="W2" s="3">
        <f>班次意见!T4</f>
        <v>45479</v>
      </c>
      <c r="X2" s="3">
        <f>班次意见!U4</f>
        <v>45480</v>
      </c>
      <c r="Y2" s="3">
        <f>班次意见!V4</f>
        <v>45481</v>
      </c>
      <c r="Z2" s="3">
        <f>班次意见!W4</f>
        <v>45482</v>
      </c>
      <c r="AA2" s="3">
        <f>班次意见!X4</f>
        <v>45483</v>
      </c>
      <c r="AB2" s="3">
        <f>班次意见!Y4</f>
        <v>45484</v>
      </c>
      <c r="AC2" s="3">
        <f>班次意见!Z4</f>
        <v>45485</v>
      </c>
      <c r="AD2" s="3">
        <f>班次意见!AA4</f>
        <v>45486</v>
      </c>
      <c r="AE2" s="3">
        <f>班次意见!AB4</f>
        <v>45487</v>
      </c>
      <c r="AF2" s="3">
        <f>班次意见!AC4</f>
        <v>45488</v>
      </c>
      <c r="AG2" s="3">
        <f>班次意见!AD4</f>
        <v>45489</v>
      </c>
      <c r="AH2" s="3">
        <f>班次意见!AE4</f>
        <v>45490</v>
      </c>
      <c r="AI2" s="3">
        <f>班次意见!AF4</f>
        <v>45491</v>
      </c>
      <c r="AJ2" s="3">
        <f>班次意见!AG4</f>
        <v>45492</v>
      </c>
      <c r="AK2" s="3">
        <f>班次意见!AH4</f>
        <v>45493</v>
      </c>
      <c r="AL2" s="3">
        <f>班次意见!AI4</f>
        <v>45494</v>
      </c>
      <c r="AM2" s="3">
        <f>班次意见!AJ4</f>
        <v>45495</v>
      </c>
      <c r="AN2" s="3">
        <f>班次意见!AK4</f>
        <v>45496</v>
      </c>
      <c r="AO2" s="3">
        <f>班次意见!AL4</f>
        <v>45497</v>
      </c>
      <c r="AP2" s="3">
        <f>班次意见!AM4</f>
        <v>45498</v>
      </c>
      <c r="AQ2" s="3">
        <f>班次意见!AN4</f>
        <v>45499</v>
      </c>
      <c r="AR2" s="3">
        <f>班次意见!AO4</f>
        <v>45500</v>
      </c>
      <c r="AS2" s="3">
        <f>班次意见!AP4</f>
        <v>45501</v>
      </c>
      <c r="AT2" s="3">
        <f>班次意见!AQ4</f>
        <v>45502</v>
      </c>
      <c r="AU2" s="3">
        <f>班次意见!AR4</f>
        <v>45503</v>
      </c>
      <c r="AV2" s="3">
        <f>班次意见!AS4</f>
        <v>45504</v>
      </c>
    </row>
    <row r="3" spans="1:48" x14ac:dyDescent="0.3">
      <c r="A3">
        <v>1</v>
      </c>
      <c r="B3">
        <v>0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N3">
        <f>capital!B2</f>
        <v>13</v>
      </c>
      <c r="Q3" t="s">
        <v>23</v>
      </c>
    </row>
    <row r="4" spans="1:48" x14ac:dyDescent="0.3">
      <c r="A4">
        <v>1</v>
      </c>
      <c r="B4">
        <v>0</v>
      </c>
      <c r="C4">
        <v>0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N4" s="4">
        <f>capital!C2</f>
        <v>23</v>
      </c>
      <c r="Q4" t="s">
        <v>24</v>
      </c>
    </row>
    <row r="5" spans="1:48" x14ac:dyDescent="0.3">
      <c r="A5">
        <v>1</v>
      </c>
      <c r="B5">
        <v>0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M5" t="s">
        <v>20</v>
      </c>
      <c r="N5">
        <v>2</v>
      </c>
      <c r="Q5" t="s">
        <v>13</v>
      </c>
    </row>
    <row r="6" spans="1:48" x14ac:dyDescent="0.3">
      <c r="A6">
        <v>1</v>
      </c>
      <c r="B6">
        <v>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N6">
        <f>N3*N4-N5</f>
        <v>297</v>
      </c>
      <c r="Q6" t="s">
        <v>11</v>
      </c>
    </row>
    <row r="7" spans="1:48" x14ac:dyDescent="0.3">
      <c r="A7">
        <v>1</v>
      </c>
      <c r="B7">
        <v>0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N7">
        <f>SUM(A2:L37)-SUM(0)</f>
        <v>297</v>
      </c>
      <c r="Q7" t="s">
        <v>19</v>
      </c>
    </row>
    <row r="8" spans="1:48" x14ac:dyDescent="0.3">
      <c r="A8">
        <v>1</v>
      </c>
      <c r="B8">
        <v>0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M8" t="s">
        <v>21</v>
      </c>
      <c r="N8">
        <f>N6-N7</f>
        <v>0</v>
      </c>
      <c r="Q8" t="s">
        <v>18</v>
      </c>
    </row>
    <row r="9" spans="1:48" x14ac:dyDescent="0.3">
      <c r="A9">
        <v>1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Q9" t="s">
        <v>17</v>
      </c>
    </row>
    <row r="10" spans="1:48" x14ac:dyDescent="0.3">
      <c r="A10">
        <v>1</v>
      </c>
      <c r="B10">
        <v>0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Q10" t="s">
        <v>10</v>
      </c>
    </row>
    <row r="11" spans="1:48" x14ac:dyDescent="0.3">
      <c r="A11">
        <v>1</v>
      </c>
      <c r="B11">
        <v>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Q11" t="s">
        <v>9</v>
      </c>
    </row>
    <row r="12" spans="1:48" x14ac:dyDescent="0.3">
      <c r="A12">
        <v>1</v>
      </c>
      <c r="B12">
        <v>0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Q12" t="s">
        <v>7</v>
      </c>
    </row>
    <row r="13" spans="1:48" x14ac:dyDescent="0.3">
      <c r="A13">
        <v>1</v>
      </c>
      <c r="B13">
        <v>0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</row>
    <row r="14" spans="1:48" x14ac:dyDescent="0.3">
      <c r="A14">
        <v>1</v>
      </c>
      <c r="B14">
        <v>0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</row>
    <row r="15" spans="1:48" x14ac:dyDescent="0.3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1:48" x14ac:dyDescent="0.3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</row>
    <row r="17" spans="1:10" x14ac:dyDescent="0.3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</row>
    <row r="19" spans="1:10" x14ac:dyDescent="0.3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3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</row>
    <row r="21" spans="1:10" x14ac:dyDescent="0.3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</row>
    <row r="22" spans="1:10" x14ac:dyDescent="0.3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</row>
    <row r="23" spans="1:10" x14ac:dyDescent="0.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</row>
    <row r="24" spans="1:10" x14ac:dyDescent="0.3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</row>
    <row r="25" spans="1:10" x14ac:dyDescent="0.3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</row>
    <row r="26" spans="1:10" x14ac:dyDescent="0.3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</row>
    <row r="27" spans="1:10" x14ac:dyDescent="0.3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</row>
    <row r="28" spans="1:10" x14ac:dyDescent="0.3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</row>
    <row r="29" spans="1:10" x14ac:dyDescent="0.3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</row>
    <row r="30" spans="1:10" x14ac:dyDescent="0.3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</row>
    <row r="31" spans="1:10" x14ac:dyDescent="0.3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</row>
    <row r="32" spans="1:10" x14ac:dyDescent="0.3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B78CA-F74A-CE47-AA2A-25677BB6336C}">
  <sheetPr codeName="Sheet4"/>
  <dimension ref="A1:AT17"/>
  <sheetViews>
    <sheetView tabSelected="1" topLeftCell="E1" workbookViewId="0">
      <selection activeCell="I20" sqref="I20"/>
    </sheetView>
  </sheetViews>
  <sheetFormatPr defaultColWidth="10.6640625" defaultRowHeight="17.399999999999999" x14ac:dyDescent="0.3"/>
  <sheetData>
    <row r="1" spans="1:46" x14ac:dyDescent="0.3">
      <c r="A1" t="s">
        <v>25</v>
      </c>
      <c r="B1" t="s">
        <v>26</v>
      </c>
      <c r="C1" t="s">
        <v>27</v>
      </c>
      <c r="D1" t="s">
        <v>28</v>
      </c>
      <c r="E1" t="s">
        <v>29</v>
      </c>
    </row>
    <row r="2" spans="1:46" x14ac:dyDescent="0.3">
      <c r="B2">
        <v>1</v>
      </c>
      <c r="C2">
        <v>1</v>
      </c>
      <c r="D2">
        <v>0</v>
      </c>
      <c r="E2">
        <v>2</v>
      </c>
    </row>
    <row r="3" spans="1:46" x14ac:dyDescent="0.3">
      <c r="B3">
        <v>2</v>
      </c>
      <c r="C3">
        <v>2</v>
      </c>
      <c r="D3">
        <v>1</v>
      </c>
      <c r="E3">
        <v>1</v>
      </c>
      <c r="F3" s="5">
        <f t="shared" ref="F3:K3" si="0">WEEKDAY(F4)</f>
        <v>3</v>
      </c>
      <c r="G3" s="5">
        <f t="shared" si="0"/>
        <v>4</v>
      </c>
      <c r="H3" s="5">
        <f t="shared" si="0"/>
        <v>5</v>
      </c>
      <c r="I3" s="5">
        <f t="shared" si="0"/>
        <v>6</v>
      </c>
      <c r="J3" s="5">
        <f t="shared" si="0"/>
        <v>7</v>
      </c>
      <c r="K3" s="5">
        <f t="shared" si="0"/>
        <v>1</v>
      </c>
      <c r="O3" s="5">
        <f>WEEKDAY(O4)</f>
        <v>2</v>
      </c>
      <c r="P3" s="5">
        <f t="shared" ref="P3:AS3" si="1">WEEKDAY(P4)</f>
        <v>3</v>
      </c>
      <c r="Q3" s="5">
        <f t="shared" si="1"/>
        <v>4</v>
      </c>
      <c r="R3" s="5">
        <f t="shared" si="1"/>
        <v>5</v>
      </c>
      <c r="S3" s="5">
        <f t="shared" si="1"/>
        <v>6</v>
      </c>
      <c r="T3" s="5">
        <f t="shared" si="1"/>
        <v>7</v>
      </c>
      <c r="U3" s="5">
        <f t="shared" si="1"/>
        <v>1</v>
      </c>
      <c r="V3" s="5">
        <f t="shared" si="1"/>
        <v>2</v>
      </c>
      <c r="W3" s="5">
        <f t="shared" si="1"/>
        <v>3</v>
      </c>
      <c r="X3" s="5">
        <f t="shared" si="1"/>
        <v>4</v>
      </c>
      <c r="Y3" s="5">
        <f t="shared" si="1"/>
        <v>5</v>
      </c>
      <c r="Z3" s="5">
        <f t="shared" si="1"/>
        <v>6</v>
      </c>
      <c r="AA3" s="5">
        <f t="shared" si="1"/>
        <v>7</v>
      </c>
      <c r="AB3" s="5">
        <f t="shared" si="1"/>
        <v>1</v>
      </c>
      <c r="AC3" s="5">
        <f t="shared" si="1"/>
        <v>2</v>
      </c>
      <c r="AD3" s="5">
        <f t="shared" si="1"/>
        <v>3</v>
      </c>
      <c r="AE3" s="5">
        <f t="shared" si="1"/>
        <v>4</v>
      </c>
      <c r="AF3" s="5">
        <f t="shared" si="1"/>
        <v>5</v>
      </c>
      <c r="AG3" s="5">
        <f t="shared" si="1"/>
        <v>6</v>
      </c>
      <c r="AH3" s="5">
        <f t="shared" si="1"/>
        <v>7</v>
      </c>
      <c r="AI3" s="5">
        <f t="shared" si="1"/>
        <v>1</v>
      </c>
      <c r="AJ3" s="5">
        <f t="shared" si="1"/>
        <v>2</v>
      </c>
      <c r="AK3" s="5">
        <f t="shared" si="1"/>
        <v>3</v>
      </c>
      <c r="AL3" s="5">
        <f t="shared" si="1"/>
        <v>4</v>
      </c>
      <c r="AM3" s="5">
        <f t="shared" si="1"/>
        <v>5</v>
      </c>
      <c r="AN3" s="5">
        <f t="shared" si="1"/>
        <v>6</v>
      </c>
      <c r="AO3" s="5">
        <f t="shared" si="1"/>
        <v>7</v>
      </c>
      <c r="AP3" s="5">
        <f t="shared" si="1"/>
        <v>1</v>
      </c>
      <c r="AQ3" s="5">
        <f t="shared" si="1"/>
        <v>2</v>
      </c>
      <c r="AR3" s="5">
        <f t="shared" si="1"/>
        <v>3</v>
      </c>
      <c r="AS3" s="5">
        <f t="shared" si="1"/>
        <v>4</v>
      </c>
    </row>
    <row r="4" spans="1:46" x14ac:dyDescent="0.3">
      <c r="B4">
        <v>3</v>
      </c>
      <c r="C4">
        <v>3</v>
      </c>
      <c r="D4">
        <v>10</v>
      </c>
      <c r="E4">
        <v>1</v>
      </c>
      <c r="F4" s="3">
        <f t="shared" ref="F4:I4" si="2">G4-1</f>
        <v>45468</v>
      </c>
      <c r="G4" s="3">
        <f t="shared" si="2"/>
        <v>45469</v>
      </c>
      <c r="H4" s="3">
        <f t="shared" si="2"/>
        <v>45470</v>
      </c>
      <c r="I4" s="3">
        <f t="shared" si="2"/>
        <v>45471</v>
      </c>
      <c r="J4" s="3">
        <f>K4-1</f>
        <v>45472</v>
      </c>
      <c r="K4" s="3">
        <f>O4-1</f>
        <v>45473</v>
      </c>
      <c r="L4" t="s">
        <v>30</v>
      </c>
      <c r="M4" t="s">
        <v>31</v>
      </c>
      <c r="N4" t="s">
        <v>32</v>
      </c>
      <c r="O4" s="3">
        <v>45474</v>
      </c>
      <c r="P4" s="3">
        <f>O4+1</f>
        <v>45475</v>
      </c>
      <c r="Q4" s="3">
        <f t="shared" ref="Q4:AS4" si="3">P4+1</f>
        <v>45476</v>
      </c>
      <c r="R4" s="3">
        <f t="shared" si="3"/>
        <v>45477</v>
      </c>
      <c r="S4" s="3">
        <f t="shared" si="3"/>
        <v>45478</v>
      </c>
      <c r="T4" s="3">
        <f t="shared" si="3"/>
        <v>45479</v>
      </c>
      <c r="U4" s="3">
        <f t="shared" si="3"/>
        <v>45480</v>
      </c>
      <c r="V4" s="3">
        <f t="shared" si="3"/>
        <v>45481</v>
      </c>
      <c r="W4" s="3">
        <f t="shared" si="3"/>
        <v>45482</v>
      </c>
      <c r="X4" s="3">
        <f t="shared" si="3"/>
        <v>45483</v>
      </c>
      <c r="Y4" s="3">
        <f t="shared" si="3"/>
        <v>45484</v>
      </c>
      <c r="Z4" s="3">
        <f t="shared" si="3"/>
        <v>45485</v>
      </c>
      <c r="AA4" s="3">
        <f t="shared" si="3"/>
        <v>45486</v>
      </c>
      <c r="AB4" s="3">
        <f t="shared" si="3"/>
        <v>45487</v>
      </c>
      <c r="AC4" s="3">
        <f>AB4+1</f>
        <v>45488</v>
      </c>
      <c r="AD4" s="3">
        <f t="shared" si="3"/>
        <v>45489</v>
      </c>
      <c r="AE4" s="3">
        <f t="shared" si="3"/>
        <v>45490</v>
      </c>
      <c r="AF4" s="3">
        <f t="shared" si="3"/>
        <v>45491</v>
      </c>
      <c r="AG4" s="3">
        <f t="shared" si="3"/>
        <v>45492</v>
      </c>
      <c r="AH4" s="3">
        <f t="shared" si="3"/>
        <v>45493</v>
      </c>
      <c r="AI4" s="3">
        <f t="shared" si="3"/>
        <v>45494</v>
      </c>
      <c r="AJ4" s="3">
        <f t="shared" si="3"/>
        <v>45495</v>
      </c>
      <c r="AK4" s="3">
        <f t="shared" si="3"/>
        <v>45496</v>
      </c>
      <c r="AL4" s="3">
        <f t="shared" si="3"/>
        <v>45497</v>
      </c>
      <c r="AM4" s="3">
        <f>AL4+1</f>
        <v>45498</v>
      </c>
      <c r="AN4" s="3">
        <f t="shared" si="3"/>
        <v>45499</v>
      </c>
      <c r="AO4" s="3">
        <f t="shared" si="3"/>
        <v>45500</v>
      </c>
      <c r="AP4" s="3">
        <f t="shared" si="3"/>
        <v>45501</v>
      </c>
      <c r="AQ4" s="3">
        <f t="shared" si="3"/>
        <v>45502</v>
      </c>
      <c r="AR4" s="3">
        <f t="shared" si="3"/>
        <v>45503</v>
      </c>
      <c r="AS4" s="3">
        <f t="shared" si="3"/>
        <v>45504</v>
      </c>
      <c r="AT4" s="3"/>
    </row>
    <row r="5" spans="1:46" x14ac:dyDescent="0.3">
      <c r="F5" t="s">
        <v>23</v>
      </c>
      <c r="G5" t="s">
        <v>8</v>
      </c>
      <c r="H5" t="s">
        <v>8</v>
      </c>
      <c r="I5" t="s">
        <v>8</v>
      </c>
      <c r="J5" t="s">
        <v>8</v>
      </c>
      <c r="K5" t="s">
        <v>73</v>
      </c>
      <c r="L5" t="s">
        <v>33</v>
      </c>
      <c r="M5" t="s">
        <v>34</v>
      </c>
      <c r="N5" t="s">
        <v>35</v>
      </c>
      <c r="O5" t="s">
        <v>74</v>
      </c>
      <c r="Q5" t="s">
        <v>76</v>
      </c>
    </row>
    <row r="6" spans="1:46" x14ac:dyDescent="0.3">
      <c r="F6" t="s">
        <v>8</v>
      </c>
      <c r="G6" t="s">
        <v>8</v>
      </c>
      <c r="H6" t="s">
        <v>8</v>
      </c>
      <c r="I6" t="s">
        <v>8</v>
      </c>
      <c r="J6" t="s">
        <v>8</v>
      </c>
      <c r="K6" t="s">
        <v>73</v>
      </c>
      <c r="L6" t="s">
        <v>36</v>
      </c>
      <c r="M6" t="s">
        <v>37</v>
      </c>
      <c r="N6" t="s">
        <v>38</v>
      </c>
      <c r="P6" t="s">
        <v>73</v>
      </c>
    </row>
    <row r="7" spans="1:46" x14ac:dyDescent="0.3">
      <c r="F7" t="s">
        <v>8</v>
      </c>
      <c r="G7" t="s">
        <v>8</v>
      </c>
      <c r="H7" t="s">
        <v>8</v>
      </c>
      <c r="I7" t="s">
        <v>8</v>
      </c>
      <c r="J7" t="s">
        <v>8</v>
      </c>
      <c r="K7" t="s">
        <v>73</v>
      </c>
      <c r="L7" t="s">
        <v>39</v>
      </c>
      <c r="M7" t="s">
        <v>40</v>
      </c>
      <c r="N7" t="s">
        <v>41</v>
      </c>
      <c r="Q7" t="s">
        <v>8</v>
      </c>
    </row>
    <row r="8" spans="1:46" x14ac:dyDescent="0.3">
      <c r="F8" t="s">
        <v>8</v>
      </c>
      <c r="G8" t="s">
        <v>8</v>
      </c>
      <c r="H8" t="s">
        <v>8</v>
      </c>
      <c r="I8" t="s">
        <v>8</v>
      </c>
      <c r="J8" t="s">
        <v>8</v>
      </c>
      <c r="K8" t="s">
        <v>73</v>
      </c>
      <c r="L8" t="s">
        <v>42</v>
      </c>
      <c r="M8" t="s">
        <v>43</v>
      </c>
      <c r="N8" t="s">
        <v>44</v>
      </c>
      <c r="R8" t="s">
        <v>23</v>
      </c>
    </row>
    <row r="9" spans="1:46" x14ac:dyDescent="0.3">
      <c r="F9" t="s">
        <v>8</v>
      </c>
      <c r="G9" t="s">
        <v>8</v>
      </c>
      <c r="H9" t="s">
        <v>8</v>
      </c>
      <c r="I9" t="s">
        <v>8</v>
      </c>
      <c r="J9" t="s">
        <v>73</v>
      </c>
      <c r="K9" t="s">
        <v>8</v>
      </c>
      <c r="L9" t="s">
        <v>45</v>
      </c>
      <c r="M9" t="s">
        <v>46</v>
      </c>
      <c r="N9" t="s">
        <v>47</v>
      </c>
    </row>
    <row r="10" spans="1:46" x14ac:dyDescent="0.3">
      <c r="F10" t="s">
        <v>8</v>
      </c>
      <c r="G10" t="s">
        <v>8</v>
      </c>
      <c r="H10" t="s">
        <v>8</v>
      </c>
      <c r="I10" t="s">
        <v>8</v>
      </c>
      <c r="J10" t="s">
        <v>73</v>
      </c>
      <c r="K10" t="s">
        <v>8</v>
      </c>
      <c r="L10" t="s">
        <v>48</v>
      </c>
      <c r="M10" t="s">
        <v>49</v>
      </c>
      <c r="N10" t="s">
        <v>50</v>
      </c>
    </row>
    <row r="11" spans="1:46" x14ac:dyDescent="0.3">
      <c r="F11" t="s">
        <v>8</v>
      </c>
      <c r="G11" t="s">
        <v>8</v>
      </c>
      <c r="H11" t="s">
        <v>8</v>
      </c>
      <c r="I11" t="s">
        <v>8</v>
      </c>
      <c r="J11" t="s">
        <v>73</v>
      </c>
      <c r="K11" t="s">
        <v>8</v>
      </c>
      <c r="L11" t="s">
        <v>51</v>
      </c>
      <c r="M11" t="s">
        <v>52</v>
      </c>
      <c r="N11" t="s">
        <v>53</v>
      </c>
    </row>
    <row r="12" spans="1:46" x14ac:dyDescent="0.3">
      <c r="F12" t="s">
        <v>8</v>
      </c>
      <c r="G12" t="s">
        <v>8</v>
      </c>
      <c r="H12" t="s">
        <v>8</v>
      </c>
      <c r="I12" t="s">
        <v>8</v>
      </c>
      <c r="J12" t="s">
        <v>73</v>
      </c>
      <c r="K12" t="s">
        <v>8</v>
      </c>
      <c r="L12" t="s">
        <v>54</v>
      </c>
      <c r="M12" t="s">
        <v>55</v>
      </c>
      <c r="N12" t="s">
        <v>56</v>
      </c>
    </row>
    <row r="13" spans="1:46" x14ac:dyDescent="0.3">
      <c r="F13" t="s">
        <v>8</v>
      </c>
      <c r="G13" t="s">
        <v>8</v>
      </c>
      <c r="H13" t="s">
        <v>8</v>
      </c>
      <c r="I13" t="s">
        <v>8</v>
      </c>
      <c r="J13" t="s">
        <v>73</v>
      </c>
      <c r="K13" t="s">
        <v>8</v>
      </c>
      <c r="L13" t="s">
        <v>57</v>
      </c>
      <c r="M13" t="s">
        <v>58</v>
      </c>
      <c r="N13" t="s">
        <v>59</v>
      </c>
    </row>
    <row r="14" spans="1:46" x14ac:dyDescent="0.3">
      <c r="F14" t="s">
        <v>8</v>
      </c>
      <c r="G14" t="s">
        <v>8</v>
      </c>
      <c r="H14" t="s">
        <v>8</v>
      </c>
      <c r="I14" t="s">
        <v>8</v>
      </c>
      <c r="J14" t="s">
        <v>73</v>
      </c>
      <c r="K14" t="s">
        <v>8</v>
      </c>
      <c r="L14" t="s">
        <v>60</v>
      </c>
      <c r="M14" t="s">
        <v>61</v>
      </c>
      <c r="N14" t="s">
        <v>62</v>
      </c>
    </row>
    <row r="15" spans="1:46" x14ac:dyDescent="0.3">
      <c r="F15" t="s">
        <v>8</v>
      </c>
      <c r="G15" t="s">
        <v>8</v>
      </c>
      <c r="H15" t="s">
        <v>8</v>
      </c>
      <c r="I15" t="s">
        <v>8</v>
      </c>
      <c r="J15" t="s">
        <v>73</v>
      </c>
      <c r="K15" t="s">
        <v>8</v>
      </c>
      <c r="L15" t="s">
        <v>63</v>
      </c>
      <c r="M15" t="s">
        <v>64</v>
      </c>
      <c r="N15" t="s">
        <v>65</v>
      </c>
    </row>
    <row r="16" spans="1:46" x14ac:dyDescent="0.3">
      <c r="F16" t="s">
        <v>8</v>
      </c>
      <c r="G16" t="s">
        <v>8</v>
      </c>
      <c r="H16" t="s">
        <v>8</v>
      </c>
      <c r="I16" t="s">
        <v>8</v>
      </c>
      <c r="J16" t="s">
        <v>73</v>
      </c>
      <c r="K16" t="s">
        <v>8</v>
      </c>
      <c r="L16" t="s">
        <v>66</v>
      </c>
      <c r="M16" t="s">
        <v>67</v>
      </c>
      <c r="N16" t="s">
        <v>68</v>
      </c>
    </row>
    <row r="17" spans="6:14" x14ac:dyDescent="0.3">
      <c r="F17" t="s">
        <v>8</v>
      </c>
      <c r="G17" t="s">
        <v>8</v>
      </c>
      <c r="H17" t="s">
        <v>8</v>
      </c>
      <c r="I17" t="s">
        <v>8</v>
      </c>
      <c r="J17" t="s">
        <v>73</v>
      </c>
      <c r="K17" t="s">
        <v>8</v>
      </c>
      <c r="L17" t="s">
        <v>69</v>
      </c>
      <c r="M17" t="s">
        <v>70</v>
      </c>
      <c r="N17" t="s">
        <v>71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4CF36-20F8-5E4F-B7C0-3CBE75FF0CA4}">
  <sheetPr codeName="Sheet5"/>
  <dimension ref="A1:E3"/>
  <sheetViews>
    <sheetView workbookViewId="0">
      <selection activeCell="D2" sqref="D2"/>
    </sheetView>
  </sheetViews>
  <sheetFormatPr defaultColWidth="10.6640625" defaultRowHeight="17.399999999999999" x14ac:dyDescent="0.3"/>
  <sheetData>
    <row r="1" spans="1:5" x14ac:dyDescent="0.3">
      <c r="A1" t="s">
        <v>72</v>
      </c>
    </row>
    <row r="2" spans="1:5" x14ac:dyDescent="0.3">
      <c r="B2">
        <v>0</v>
      </c>
      <c r="C2">
        <v>0</v>
      </c>
      <c r="D2">
        <v>11</v>
      </c>
      <c r="E2">
        <v>1</v>
      </c>
    </row>
    <row r="3" spans="1:5" x14ac:dyDescent="0.3">
      <c r="B3">
        <v>0</v>
      </c>
      <c r="C3">
        <v>2</v>
      </c>
      <c r="D3">
        <v>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上月班次衔接</vt:lpstr>
      <vt:lpstr>capital</vt:lpstr>
      <vt:lpstr>班次要求</vt:lpstr>
      <vt:lpstr>班次意见</vt:lpstr>
      <vt:lpstr>固定班次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e4628</dc:creator>
  <cp:lastModifiedBy>志立 梁</cp:lastModifiedBy>
  <dcterms:created xsi:type="dcterms:W3CDTF">2024-06-25T08:09:52Z</dcterms:created>
  <dcterms:modified xsi:type="dcterms:W3CDTF">2024-07-25T02:19:09Z</dcterms:modified>
</cp:coreProperties>
</file>